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off scenario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i val="1"/>
      <color rgb="00777777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6F9F"/>
        <bgColor rgb="002F6F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Credit risk cutoff scenario model</t>
        </is>
      </c>
    </row>
    <row r="2">
      <c r="A2" s="2" t="inlineStr">
        <is>
          <t>Change the two yellow cells to see how the recommended cutoff and portfolio value change.</t>
        </is>
      </c>
    </row>
    <row r="4">
      <c r="A4" s="3" t="inlineStr">
        <is>
          <t>Assumption</t>
        </is>
      </c>
      <c r="B4" s="3" t="inlineStr">
        <is>
          <t>Value</t>
        </is>
      </c>
    </row>
    <row r="5">
      <c r="A5" t="inlineStr">
        <is>
          <t>Average profit per good approved borrower ($)</t>
        </is>
      </c>
      <c r="B5" s="4" t="n">
        <v>300</v>
      </c>
    </row>
    <row r="6">
      <c r="A6" t="inlineStr">
        <is>
          <t>Average loss per approved borrower who defaults ($)</t>
        </is>
      </c>
      <c r="B6" s="4" t="n">
        <v>2500</v>
      </c>
    </row>
    <row r="8">
      <c r="A8" s="5" t="inlineStr">
        <is>
          <t>Test set: 45,000 borrowers held out from model training (30% of 150,000 after cleaning). 6.68% baseline default rate.</t>
        </is>
      </c>
    </row>
    <row r="11">
      <c r="A11" s="6" t="inlineStr">
        <is>
          <t>Reject cutoff (predicted risk)</t>
        </is>
      </c>
      <c r="B11" s="6" t="inlineStr">
        <is>
          <t>Policy</t>
        </is>
      </c>
      <c r="C11" s="6" t="inlineStr">
        <is>
          <t>Good borrowers approved</t>
        </is>
      </c>
      <c r="D11" s="6" t="inlineStr">
        <is>
          <t>Defaulters approved</t>
        </is>
      </c>
      <c r="E11" s="6" t="inlineStr">
        <is>
          <t>Good borrowers rejected</t>
        </is>
      </c>
      <c r="F11" s="6" t="inlineStr">
        <is>
          <t>Defaulters rejected</t>
        </is>
      </c>
      <c r="G11" s="6" t="inlineStr">
        <is>
          <t>% of defaults caught</t>
        </is>
      </c>
      <c r="H11" s="6" t="inlineStr">
        <is>
          <t>% of good borrowers rejected</t>
        </is>
      </c>
      <c r="I11" s="6" t="inlineStr">
        <is>
          <t>Portfolio net value ($)</t>
        </is>
      </c>
    </row>
    <row r="12">
      <c r="A12" t="inlineStr">
        <is>
          <t>None (approve all)</t>
        </is>
      </c>
      <c r="B12" t="inlineStr">
        <is>
          <t>Approve everyone</t>
        </is>
      </c>
      <c r="C12" t="n">
        <v>41992</v>
      </c>
      <c r="D12" t="n">
        <v>3008</v>
      </c>
      <c r="E12" t="n">
        <v>0</v>
      </c>
      <c r="F12" t="n">
        <v>0</v>
      </c>
      <c r="G12" t="n">
        <v>0</v>
      </c>
      <c r="H12" t="n">
        <v>0</v>
      </c>
      <c r="I12">
        <f>C12*$B$5 - D12*$B$6</f>
        <v/>
      </c>
    </row>
    <row r="13">
      <c r="A13" t="n">
        <v>0.02</v>
      </c>
      <c r="B13" t="inlineStr">
        <is>
          <t>Reject if risk &gt;= 2%</t>
        </is>
      </c>
      <c r="C13" t="n">
        <v>12865</v>
      </c>
      <c r="D13" t="n">
        <v>85</v>
      </c>
      <c r="E13" t="n">
        <v>29127</v>
      </c>
      <c r="F13" t="n">
        <v>2923</v>
      </c>
      <c r="G13" t="n">
        <v>97.2</v>
      </c>
      <c r="H13" t="n">
        <v>69.40000000000001</v>
      </c>
      <c r="I13">
        <f>C13*$B$5 - D13*$B$6</f>
        <v/>
      </c>
    </row>
    <row r="14">
      <c r="A14" t="n">
        <v>0.05</v>
      </c>
      <c r="B14" t="inlineStr">
        <is>
          <t>Reject if risk &gt;= 5%</t>
        </is>
      </c>
      <c r="C14" t="n">
        <v>29994</v>
      </c>
      <c r="D14" t="n">
        <v>539</v>
      </c>
      <c r="E14" t="n">
        <v>11998</v>
      </c>
      <c r="F14" t="n">
        <v>2469</v>
      </c>
      <c r="G14" t="n">
        <v>82.09999999999999</v>
      </c>
      <c r="H14" t="n">
        <v>28.6</v>
      </c>
      <c r="I14">
        <f>C14*$B$5 - D14*$B$6</f>
        <v/>
      </c>
    </row>
    <row r="15">
      <c r="A15" t="n">
        <v>0.08</v>
      </c>
      <c r="B15" t="inlineStr">
        <is>
          <t>Reject if risk &gt;= 8%</t>
        </is>
      </c>
      <c r="C15" t="n">
        <v>34843</v>
      </c>
      <c r="D15" t="n">
        <v>880</v>
      </c>
      <c r="E15" t="n">
        <v>7149</v>
      </c>
      <c r="F15" t="n">
        <v>2128</v>
      </c>
      <c r="G15" t="n">
        <v>70.7</v>
      </c>
      <c r="H15" t="n">
        <v>17</v>
      </c>
      <c r="I15">
        <f>C15*$B$5 - D15*$B$6</f>
        <v/>
      </c>
    </row>
    <row r="16">
      <c r="A16" s="3" t="n">
        <v>0.1</v>
      </c>
      <c r="B16" s="3" t="inlineStr">
        <is>
          <t>Reject if risk &gt;= 10%</t>
        </is>
      </c>
      <c r="C16" s="3" t="n">
        <v>36778</v>
      </c>
      <c r="D16" s="3" t="n">
        <v>1087</v>
      </c>
      <c r="E16" s="3" t="n">
        <v>5214</v>
      </c>
      <c r="F16" s="3" t="n">
        <v>1921</v>
      </c>
      <c r="G16" s="3" t="n">
        <v>63.9</v>
      </c>
      <c r="H16" s="3" t="n">
        <v>12.4</v>
      </c>
      <c r="I16" s="3">
        <f>C16*$B$5 - D16*$B$6</f>
        <v/>
      </c>
    </row>
    <row r="17">
      <c r="A17" t="n">
        <v>0.12</v>
      </c>
      <c r="B17" t="inlineStr">
        <is>
          <t>Reject if risk &gt;= 12%</t>
        </is>
      </c>
      <c r="C17" t="n">
        <v>38224</v>
      </c>
      <c r="D17" t="n">
        <v>1303</v>
      </c>
      <c r="E17" t="n">
        <v>3768</v>
      </c>
      <c r="F17" t="n">
        <v>1705</v>
      </c>
      <c r="G17" t="n">
        <v>56.7</v>
      </c>
      <c r="H17" t="n">
        <v>9</v>
      </c>
      <c r="I17">
        <f>C17*$B$5 - D17*$B$6</f>
        <v/>
      </c>
    </row>
    <row r="18">
      <c r="A18" t="n">
        <v>0.15</v>
      </c>
      <c r="B18" t="inlineStr">
        <is>
          <t>Reject if risk &gt;= 15%</t>
        </is>
      </c>
      <c r="C18" t="n">
        <v>39667</v>
      </c>
      <c r="D18" t="n">
        <v>1518</v>
      </c>
      <c r="E18" t="n">
        <v>2325</v>
      </c>
      <c r="F18" t="n">
        <v>1490</v>
      </c>
      <c r="G18" t="n">
        <v>49.5</v>
      </c>
      <c r="H18" t="n">
        <v>5.5</v>
      </c>
      <c r="I18">
        <f>C18*$B$5 - D18*$B$6</f>
        <v/>
      </c>
    </row>
    <row r="19">
      <c r="A19" t="n">
        <v>0.2</v>
      </c>
      <c r="B19" t="inlineStr">
        <is>
          <t>Reject if risk &gt;= 20%</t>
        </is>
      </c>
      <c r="C19" t="n">
        <v>40546</v>
      </c>
      <c r="D19" t="n">
        <v>1834</v>
      </c>
      <c r="E19" t="n">
        <v>1446</v>
      </c>
      <c r="F19" t="n">
        <v>1174</v>
      </c>
      <c r="G19" t="n">
        <v>39</v>
      </c>
      <c r="H19" t="n">
        <v>3.4</v>
      </c>
      <c r="I19">
        <f>C19*$B$5 - D19*$B$6</f>
        <v/>
      </c>
    </row>
    <row r="20">
      <c r="A20" t="n">
        <v>0.3</v>
      </c>
      <c r="B20" t="inlineStr">
        <is>
          <t>Reject if risk &gt;= 30%</t>
        </is>
      </c>
      <c r="C20" t="n">
        <v>41192</v>
      </c>
      <c r="D20" t="n">
        <v>2178</v>
      </c>
      <c r="E20" t="n">
        <v>800</v>
      </c>
      <c r="F20" t="n">
        <v>830</v>
      </c>
      <c r="G20" t="n">
        <v>27.6</v>
      </c>
      <c r="H20" t="n">
        <v>1.9</v>
      </c>
      <c r="I20">
        <f>C20*$B$5 - D20*$B$6</f>
        <v/>
      </c>
    </row>
    <row r="21">
      <c r="A21" t="n">
        <v>0.5</v>
      </c>
      <c r="B21" t="inlineStr">
        <is>
          <t>Reject if risk &gt;= 50%</t>
        </is>
      </c>
      <c r="C21" t="n">
        <v>41676</v>
      </c>
      <c r="D21" t="n">
        <v>2557</v>
      </c>
      <c r="E21" t="n">
        <v>316</v>
      </c>
      <c r="F21" t="n">
        <v>451</v>
      </c>
      <c r="G21" t="n">
        <v>15</v>
      </c>
      <c r="H21" t="n">
        <v>0.8</v>
      </c>
      <c r="I21">
        <f>C21*$B$5 - D21*$B$6</f>
        <v/>
      </c>
    </row>
    <row r="23">
      <c r="A23" s="5" t="inlineStr">
        <is>
          <t>Green-bolded row above is the best cutoff under the current two assumptions.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2026-09-14T09:56:17Z</dcterms:created>
  <dcterms:modified xsi:type="dcterms:W3CDTF">2026-09-14T09:56:17Z</dcterms:modified>
</cp:coreProperties>
</file>